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 defaultThemeVersion="166925"/>
  <xr:revisionPtr revIDLastSave="0" documentId="8_{99B61EA2-8DA2-46EE-8A1B-5D6495BAFB29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VENDAS" sheetId="1" r:id="rId1"/>
    <sheet name="PRODUTOS" sheetId="2" r:id="rId2"/>
    <sheet name="CLIENTES" sheetId="3" r:id="rId3"/>
    <sheet name="TABELAS" sheetId="5" r:id="rId4"/>
    <sheet name="DASHBOARD" sheetId="4" r:id="rId5"/>
  </sheets>
  <definedNames>
    <definedName name="_xlnm.Print_Area" localSheetId="0">VENDAS!$B$2:$J$18</definedName>
    <definedName name="_xlnm.Print_Area" localSheetId="4">DASHBOARD!$F$20:$F$20,DASHBOARD!$A$1:$J$18</definedName>
  </definedNames>
  <calcPr calcId="191028"/>
  <pivotCaches>
    <pivotCache cacheId="39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3" i="4" l="1"/>
  <c r="B3" i="4"/>
  <c r="E8" i="5"/>
  <c r="F3" i="4" s="1"/>
  <c r="J11" i="1"/>
  <c r="J12" i="1"/>
  <c r="J13" i="1"/>
  <c r="J14" i="1"/>
  <c r="J15" i="1"/>
  <c r="J16" i="1"/>
  <c r="J17" i="1"/>
  <c r="J18" i="1"/>
  <c r="J10" i="1"/>
  <c r="J9" i="1"/>
  <c r="J8" i="1"/>
  <c r="J7" i="1"/>
  <c r="J6" i="1"/>
  <c r="J5" i="1"/>
  <c r="J4" i="1"/>
</calcChain>
</file>

<file path=xl/sharedStrings.xml><?xml version="1.0" encoding="utf-8"?>
<sst xmlns="http://schemas.openxmlformats.org/spreadsheetml/2006/main" count="180" uniqueCount="64">
  <si>
    <t>VENDAS</t>
  </si>
  <si>
    <t>ID VENDA</t>
  </si>
  <si>
    <t>DATA</t>
  </si>
  <si>
    <t>PRODUTO</t>
  </si>
  <si>
    <t>CATEGORIA</t>
  </si>
  <si>
    <t>GÊNERO</t>
  </si>
  <si>
    <t>PREÇO</t>
  </si>
  <si>
    <t>QUANTIDADE</t>
  </si>
  <si>
    <t>CLIENTE</t>
  </si>
  <si>
    <t>TOTAL</t>
  </si>
  <si>
    <t>Camiseta básica</t>
  </si>
  <si>
    <t>Casual</t>
  </si>
  <si>
    <t>M</t>
  </si>
  <si>
    <t>Carlos Lima</t>
  </si>
  <si>
    <t>Vestido floral</t>
  </si>
  <si>
    <t>F</t>
  </si>
  <si>
    <t>Ana Souza</t>
  </si>
  <si>
    <t>Calça jeans</t>
  </si>
  <si>
    <t>Pedro Alves</t>
  </si>
  <si>
    <t>Blusa elegante</t>
  </si>
  <si>
    <t>Social</t>
  </si>
  <si>
    <t>Fernanda Silva</t>
  </si>
  <si>
    <t>Bermuda</t>
  </si>
  <si>
    <t>Esporte</t>
  </si>
  <si>
    <t>Lucas Ferreira</t>
  </si>
  <si>
    <t>Saia Midi</t>
  </si>
  <si>
    <t>Juliana Rocha</t>
  </si>
  <si>
    <t>Camiseta estampada</t>
  </si>
  <si>
    <t>Bruno Martins</t>
  </si>
  <si>
    <t>Calça legging</t>
  </si>
  <si>
    <t>Mariana Costa</t>
  </si>
  <si>
    <t>Camisa social</t>
  </si>
  <si>
    <t>Rafael Gomes</t>
  </si>
  <si>
    <t xml:space="preserve">Jaqueta jeans </t>
  </si>
  <si>
    <t xml:space="preserve">Beatriz Santos </t>
  </si>
  <si>
    <t>PRODUTOS</t>
  </si>
  <si>
    <t>CUSTO</t>
  </si>
  <si>
    <t>ESTOQUE</t>
  </si>
  <si>
    <t>Jaqueta jeans</t>
  </si>
  <si>
    <t>casual</t>
  </si>
  <si>
    <t>CLIENTES</t>
  </si>
  <si>
    <t>IDADE</t>
  </si>
  <si>
    <t>CIDADE</t>
  </si>
  <si>
    <t>ESTADO</t>
  </si>
  <si>
    <t>São Paulo</t>
  </si>
  <si>
    <t>SP</t>
  </si>
  <si>
    <t>Osasco</t>
  </si>
  <si>
    <t>Barueri</t>
  </si>
  <si>
    <t>Carapicuíba</t>
  </si>
  <si>
    <t>Beatriz Santos</t>
  </si>
  <si>
    <t>FATURAMENTO</t>
  </si>
  <si>
    <t>TOTAL DE VENDAS</t>
  </si>
  <si>
    <t>Soma de TOTAL</t>
  </si>
  <si>
    <t>Contagem de ID VENDA</t>
  </si>
  <si>
    <t>VENDAS POR GÊNERO</t>
  </si>
  <si>
    <t>TICKET MÉDIO</t>
  </si>
  <si>
    <t>Total Geral</t>
  </si>
  <si>
    <t>FATURAMENTO POR CATEGORIA</t>
  </si>
  <si>
    <t>FATURAMENTO TOTAL</t>
  </si>
  <si>
    <t>Nº DE VENDAS</t>
  </si>
  <si>
    <t>INSIGHTS</t>
  </si>
  <si>
    <t>• A categoria casual lidera o faturamento, indicando maior demanda por produtos do dia a dia.</t>
  </si>
  <si>
    <t>• As vendas estão bem distribuídas entre os gêneros.</t>
  </si>
  <si>
    <t>• O ticket médio de R$ 149,85 indica bom valor por compra.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</si>
</sst>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4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color theme="1"/>
      <name val="Calibri Light"/>
      <scheme val="major"/>
    </font>
    <font>
      <sz val="12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1" tint="4.9989318521683403E-2"/>
      <name val="Calibri"/>
      <family val="2"/>
      <scheme val="minor"/>
    </font>
    <font>
      <b/>
      <sz val="48"/>
      <color theme="1" tint="4.9989318521683403E-2"/>
      <name val="Calibri"/>
      <family val="2"/>
      <scheme val="minor"/>
    </font>
    <font>
      <b/>
      <sz val="48"/>
      <color theme="1"/>
      <name val="Calibri"/>
      <family val="2"/>
      <scheme val="minor"/>
    </font>
    <font>
      <sz val="11"/>
      <color theme="1" tint="0.499984740745262"/>
      <name val="Calibri Light"/>
      <scheme val="major"/>
    </font>
    <font>
      <b/>
      <sz val="12"/>
      <color theme="1" tint="0.249977111117893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 tint="0.24997711111789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/>
      <diagonal/>
    </border>
    <border>
      <left style="thin">
        <color theme="2" tint="-0.249977111117893"/>
      </left>
      <right style="thin">
        <color theme="2" tint="-0.249977111117893"/>
      </right>
      <top/>
      <bottom style="thin">
        <color theme="2" tint="-0.249977111117893"/>
      </bottom>
      <diagonal/>
    </border>
    <border>
      <left style="thin">
        <color theme="2" tint="-0.499984740745262"/>
      </left>
      <right/>
      <top style="thin">
        <color theme="2" tint="-0.499984740745262"/>
      </top>
      <bottom style="thin">
        <color theme="2" tint="-0.499984740745262"/>
      </bottom>
      <diagonal/>
    </border>
    <border>
      <left/>
      <right/>
      <top style="thin">
        <color theme="2" tint="-0.499984740745262"/>
      </top>
      <bottom style="thin">
        <color theme="2" tint="-0.499984740745262"/>
      </bottom>
      <diagonal/>
    </border>
    <border>
      <left/>
      <right style="thin">
        <color theme="2" tint="-0.499984740745262"/>
      </right>
      <top style="thin">
        <color theme="2" tint="-0.499984740745262"/>
      </top>
      <bottom style="thin">
        <color theme="2" tint="-0.499984740745262"/>
      </bottom>
      <diagonal/>
    </border>
  </borders>
  <cellStyleXfs count="1">
    <xf numFmtId="0" fontId="0" fillId="0" borderId="0"/>
  </cellStyleXfs>
  <cellXfs count="39">
    <xf numFmtId="0" fontId="0" fillId="0" borderId="0" xfId="0"/>
    <xf numFmtId="14" fontId="0" fillId="0" borderId="3" xfId="0" applyNumberFormat="1" applyBorder="1"/>
    <xf numFmtId="164" fontId="0" fillId="0" borderId="4" xfId="0" applyNumberFormat="1" applyBorder="1"/>
    <xf numFmtId="14" fontId="0" fillId="0" borderId="5" xfId="0" applyNumberFormat="1" applyBorder="1"/>
    <xf numFmtId="164" fontId="0" fillId="0" borderId="6" xfId="0" applyNumberFormat="1" applyBorder="1"/>
    <xf numFmtId="0" fontId="4" fillId="0" borderId="7" xfId="0" applyFont="1" applyBorder="1" applyAlignment="1">
      <alignment horizontal="center"/>
    </xf>
    <xf numFmtId="0" fontId="5" fillId="0" borderId="9" xfId="0" applyFont="1" applyBorder="1"/>
    <xf numFmtId="0" fontId="1" fillId="0" borderId="7" xfId="0" applyFont="1" applyBorder="1" applyAlignment="1">
      <alignment horizontal="center"/>
    </xf>
    <xf numFmtId="0" fontId="5" fillId="0" borderId="0" xfId="0" applyFont="1"/>
    <xf numFmtId="0" fontId="6" fillId="0" borderId="10" xfId="0" applyFont="1" applyBorder="1" applyAlignment="1">
      <alignment horizontal="center"/>
    </xf>
    <xf numFmtId="0" fontId="7" fillId="0" borderId="10" xfId="0" applyFont="1" applyBorder="1" applyAlignment="1">
      <alignment horizontal="center"/>
    </xf>
    <xf numFmtId="0" fontId="0" fillId="0" borderId="3" xfId="0" applyBorder="1"/>
    <xf numFmtId="0" fontId="0" fillId="0" borderId="5" xfId="0" applyBorder="1"/>
    <xf numFmtId="164" fontId="8" fillId="0" borderId="11" xfId="0" applyNumberFormat="1" applyFont="1" applyBorder="1"/>
    <xf numFmtId="0" fontId="9" fillId="0" borderId="11" xfId="0" applyFont="1" applyBorder="1" applyAlignment="1">
      <alignment horizontal="center"/>
    </xf>
    <xf numFmtId="164" fontId="9" fillId="0" borderId="11" xfId="0" applyNumberFormat="1" applyFont="1" applyBorder="1" applyAlignment="1">
      <alignment horizontal="center"/>
    </xf>
    <xf numFmtId="164" fontId="5" fillId="0" borderId="9" xfId="0" applyNumberFormat="1" applyFont="1" applyBorder="1"/>
    <xf numFmtId="0" fontId="10" fillId="0" borderId="0" xfId="0" applyFont="1"/>
    <xf numFmtId="0" fontId="11" fillId="0" borderId="0" xfId="0" applyFont="1"/>
    <xf numFmtId="0" fontId="2" fillId="0" borderId="0" xfId="0" applyFont="1" applyAlignment="1">
      <alignment horizontal="center"/>
    </xf>
    <xf numFmtId="14" fontId="0" fillId="0" borderId="0" xfId="0" applyNumberFormat="1"/>
    <xf numFmtId="0" fontId="0" fillId="0" borderId="0" xfId="0" applyAlignment="1">
      <alignment horizontal="center"/>
    </xf>
    <xf numFmtId="164" fontId="0" fillId="0" borderId="0" xfId="0" applyNumberFormat="1"/>
    <xf numFmtId="0" fontId="2" fillId="0" borderId="0" xfId="0" applyFont="1"/>
    <xf numFmtId="0" fontId="12" fillId="2" borderId="3" xfId="0" applyFont="1" applyFill="1" applyBorder="1"/>
    <xf numFmtId="0" fontId="0" fillId="2" borderId="4" xfId="0" applyFill="1" applyBorder="1"/>
    <xf numFmtId="0" fontId="0" fillId="2" borderId="8" xfId="0" applyFill="1" applyBorder="1"/>
    <xf numFmtId="0" fontId="0" fillId="2" borderId="3" xfId="0" applyFill="1" applyBorder="1"/>
    <xf numFmtId="0" fontId="3" fillId="2" borderId="4" xfId="0" applyFont="1" applyFill="1" applyBorder="1"/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3" fillId="3" borderId="12" xfId="0" applyFont="1" applyFill="1" applyBorder="1" applyAlignment="1">
      <alignment horizontal="center"/>
    </xf>
    <xf numFmtId="0" fontId="13" fillId="3" borderId="13" xfId="0" applyFont="1" applyFill="1" applyBorder="1" applyAlignment="1">
      <alignment horizontal="center"/>
    </xf>
    <xf numFmtId="0" fontId="13" fillId="3" borderId="14" xfId="0" applyFont="1" applyFill="1" applyBorder="1" applyAlignment="1">
      <alignment horizontal="center"/>
    </xf>
    <xf numFmtId="0" fontId="13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center"/>
    </xf>
    <xf numFmtId="0" fontId="13" fillId="0" borderId="14" xfId="0" applyFont="1" applyBorder="1" applyAlignment="1">
      <alignment horizontal="center"/>
    </xf>
  </cellXfs>
  <cellStyles count="1">
    <cellStyle name="Normal" xfId="0" builtinId="0"/>
  </cellStyles>
  <dxfs count="55"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&quot;R$&quot;\ #,##0.00"/>
      <fill>
        <patternFill patternType="none">
          <fgColor indexed="64"/>
          <bgColor indexed="65"/>
        </patternFill>
      </fill>
    </dxf>
    <dxf>
      <numFmt numFmtId="164" formatCode="&quot;R$&quot;\ 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fill>
        <patternFill patternType="none">
          <fgColor indexed="64"/>
          <bgColor indexed="65"/>
        </patternFill>
      </fill>
    </dxf>
    <dxf>
      <numFmt numFmtId="164" formatCode="&quot;R$&quot;\ 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64" formatCode="&quot;R$&quot;\ #,##0.00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numFmt numFmtId="19" formatCode="dd/mm/yyyy"/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 Light"/>
        <scheme val="maj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</dxf>
    <dxf>
      <font>
        <sz val="12"/>
      </font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color theme="0"/>
      </font>
    </dxf>
    <dxf>
      <fill>
        <patternFill patternType="solid">
          <fgColor indexed="64"/>
          <bgColor theme="2" tint="-9.9978637043366805E-2"/>
        </patternFill>
      </fill>
    </dxf>
    <dxf>
      <fill>
        <patternFill patternType="solid">
          <fgColor indexed="64"/>
          <bgColor theme="2" tint="-9.9978637043366805E-2"/>
        </patternFill>
      </fill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</font>
    </dxf>
    <dxf>
      <fill>
        <patternFill patternType="solid">
          <fgColor indexed="64"/>
          <bgColor theme="2" tint="-9.9978637043366805E-2"/>
        </patternFill>
      </fill>
    </dxf>
  </dxfs>
  <tableStyles count="0" defaultTableStyle="TableStyleMedium2" defaultPivotStyle="PivotStyleMedium9"/>
  <colors>
    <mruColors>
      <color rgb="FFFCF0D9"/>
      <color rgb="FFFADCA5"/>
      <color rgb="FFF7DCD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de vendas - Annie Store.xlsx]TABELAS!Tabela dinâmica4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FATURAMENTO POR CATEGORIA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AEAAAA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AEAAAA"/>
          </a:solidFill>
          <a:ln>
            <a:solidFill>
              <a:srgbClr val="0070BF"/>
            </a:solidFill>
            <a:prstDash val="solid"/>
          </a:ln>
          <a:effectLst/>
        </c:spPr>
      </c:pivotFmt>
      <c:pivotFmt>
        <c:idx val="6"/>
        <c:spPr>
          <a:solidFill>
            <a:srgbClr val="AEAAAA"/>
          </a:solidFill>
          <a:ln>
            <a:noFill/>
          </a:ln>
          <a:effectLst/>
        </c:spPr>
      </c:pivotFmt>
      <c:pivotFmt>
        <c:idx val="7"/>
        <c:spPr>
          <a:solidFill>
            <a:srgbClr val="AEAAAA"/>
          </a:solidFill>
          <a:ln>
            <a:noFill/>
          </a:ln>
          <a:effectLst/>
        </c:spP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TABELAS!$F$11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EAAAA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AEAAAA"/>
              </a:solidFill>
              <a:ln>
                <a:solidFill>
                  <a:srgbClr val="0070B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40-4CD9-89A6-542C52D4151F}"/>
              </c:ext>
            </c:extLst>
          </c:dPt>
          <c:cat>
            <c:strRef>
              <c:f>TABELAS!$E$12:$E$15</c:f>
              <c:strCache>
                <c:ptCount val="3"/>
                <c:pt idx="0">
                  <c:v>Casual</c:v>
                </c:pt>
                <c:pt idx="1">
                  <c:v>Esporte</c:v>
                </c:pt>
                <c:pt idx="2">
                  <c:v>Social</c:v>
                </c:pt>
              </c:strCache>
            </c:strRef>
          </c:cat>
          <c:val>
            <c:numRef>
              <c:f>TABELAS!$F$12:$F$15</c:f>
              <c:numCache>
                <c:formatCode>"R$"\ #,##0.00</c:formatCode>
                <c:ptCount val="3"/>
                <c:pt idx="0">
                  <c:v>1388.7</c:v>
                </c:pt>
                <c:pt idx="1">
                  <c:v>449.50000000000006</c:v>
                </c:pt>
                <c:pt idx="2">
                  <c:v>409.6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70-4BEF-A1DA-D04938A6B0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68299271"/>
        <c:axId val="2068310023"/>
      </c:barChart>
      <c:catAx>
        <c:axId val="20682992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310023"/>
        <c:crosses val="autoZero"/>
        <c:auto val="1"/>
        <c:lblAlgn val="ctr"/>
        <c:lblOffset val="100"/>
        <c:noMultiLvlLbl val="0"/>
      </c:catAx>
      <c:valAx>
        <c:axId val="2068310023"/>
        <c:scaling>
          <c:orientation val="minMax"/>
        </c:scaling>
        <c:delete val="0"/>
        <c:axPos val="l"/>
        <c:numFmt formatCode="&quot;R$&quot;\ 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299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[Análise de vendas - Annie Store.xlsx]TABELAS!Tabela dinâmica5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VENDAS POR GÊNERO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circle"/>
          <c:size val="5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rgbClr val="AEAAAA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E7E6E6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rgbClr val="AEAAAA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TABELAS!$H$4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AEAAAA"/>
            </a:solidFill>
          </c:spPr>
          <c:dPt>
            <c:idx val="0"/>
            <c:bubble3D val="0"/>
            <c:spPr>
              <a:solidFill>
                <a:srgbClr val="E7E6E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9D9E-43C3-B7A9-F0C2C0285AB9}"/>
              </c:ext>
            </c:extLst>
          </c:dPt>
          <c:dPt>
            <c:idx val="1"/>
            <c:bubble3D val="0"/>
            <c:spPr>
              <a:solidFill>
                <a:srgbClr val="AEAAAA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9D9E-43C3-B7A9-F0C2C0285AB9}"/>
              </c:ext>
            </c:extLst>
          </c:dPt>
          <c:cat>
            <c:strRef>
              <c:f>TABELAS!$G$5:$G$7</c:f>
              <c:strCache>
                <c:ptCount val="2"/>
                <c:pt idx="0">
                  <c:v>F</c:v>
                </c:pt>
                <c:pt idx="1">
                  <c:v>M</c:v>
                </c:pt>
              </c:strCache>
            </c:strRef>
          </c:cat>
          <c:val>
            <c:numRef>
              <c:f>TABELAS!$H$5:$H$7</c:f>
              <c:numCache>
                <c:formatCode>"R$"\ #,##0.00</c:formatCode>
                <c:ptCount val="2"/>
                <c:pt idx="0">
                  <c:v>1179.0000000000002</c:v>
                </c:pt>
                <c:pt idx="1">
                  <c:v>1068.8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D9E-43C3-B7A9-F0C2C0285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228600</xdr:colOff>
      <xdr:row>4</xdr:row>
      <xdr:rowOff>38100</xdr:rowOff>
    </xdr:from>
    <xdr:to>
      <xdr:col>2</xdr:col>
      <xdr:colOff>466725</xdr:colOff>
      <xdr:row>16</xdr:row>
      <xdr:rowOff>95250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3EDA203-4421-4798-93F7-EBAA6153C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876300</xdr:colOff>
      <xdr:row>4</xdr:row>
      <xdr:rowOff>38100</xdr:rowOff>
    </xdr:from>
    <xdr:to>
      <xdr:col>4</xdr:col>
      <xdr:colOff>542925</xdr:colOff>
      <xdr:row>16</xdr:row>
      <xdr:rowOff>85725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A02B4D8-A2D1-4358-B8CF-E03F3A9AA32B}"/>
            </a:ext>
            <a:ext uri="{147F2762-F138-4A5C-976F-8EAC2B608ADB}">
              <a16:predDERef xmlns:a16="http://schemas.microsoft.com/office/drawing/2014/main" pred="{A3EDA203-4421-4798-93F7-EBAA6153CAD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143.165138773147" createdVersion="8" refreshedVersion="8" minRefreshableVersion="3" recordCount="15" xr:uid="{BCC89D95-BC49-4B74-9F8B-92C5E925C9CA}">
  <cacheSource type="worksheet">
    <worksheetSource ref="B3:J18" sheet="VENDAS"/>
  </cacheSource>
  <cacheFields count="9">
    <cacheField name="ID VENDA" numFmtId="0">
      <sharedItems containsSemiMixedTypes="0" containsString="0" containsNumber="1" containsInteger="1" minValue="1" maxValue="15"/>
    </cacheField>
    <cacheField name="DATA" numFmtId="14">
      <sharedItems containsSemiMixedTypes="0" containsNonDate="0" containsDate="1" containsString="0" minDate="2026-03-01T00:00:00" maxDate="2026-03-16T00:00:00" count="15">
        <d v="2026-03-01T00:00:00"/>
        <d v="2026-03-02T00:00:00"/>
        <d v="2026-03-03T00:00:00"/>
        <d v="2026-03-04T00:00:00"/>
        <d v="2026-03-05T00:00:00"/>
        <d v="2026-03-06T00:00:00"/>
        <d v="2026-03-07T00:00:00"/>
        <d v="2026-03-08T00:00:00"/>
        <d v="2026-03-09T00:00:00"/>
        <d v="2026-03-10T00:00:00"/>
        <d v="2026-03-11T00:00:00"/>
        <d v="2026-03-12T00:00:00"/>
        <d v="2026-03-13T00:00:00"/>
        <d v="2026-03-14T00:00:00"/>
        <d v="2026-03-15T00:00:00"/>
      </sharedItems>
    </cacheField>
    <cacheField name="PRODUTO" numFmtId="0">
      <sharedItems/>
    </cacheField>
    <cacheField name="CATEGORIA" numFmtId="0">
      <sharedItems count="3">
        <s v="Casual"/>
        <s v="Social"/>
        <s v="Esporte"/>
      </sharedItems>
    </cacheField>
    <cacheField name="GÊNERO" numFmtId="0">
      <sharedItems count="2">
        <s v="M"/>
        <s v="F"/>
      </sharedItems>
    </cacheField>
    <cacheField name="PREÇO" numFmtId="164">
      <sharedItems containsSemiMixedTypes="0" containsString="0" containsNumber="1" minValue="59.9" maxValue="179.9"/>
    </cacheField>
    <cacheField name="QUANTIDADE" numFmtId="0">
      <sharedItems containsSemiMixedTypes="0" containsString="0" containsNumber="1" containsInteger="1" minValue="1" maxValue="3"/>
    </cacheField>
    <cacheField name="CLIENTE" numFmtId="0">
      <sharedItems/>
    </cacheField>
    <cacheField name="TOTAL" numFmtId="164">
      <sharedItems containsSemiMixedTypes="0" containsString="0" containsNumber="1" minValue="59.9" maxValue="279.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n v="1"/>
    <x v="0"/>
    <s v="Camiseta básica"/>
    <x v="0"/>
    <x v="0"/>
    <n v="59.9"/>
    <n v="2"/>
    <s v="Carlos Lima"/>
    <n v="119.8"/>
  </r>
  <r>
    <n v="2"/>
    <x v="1"/>
    <s v="Vestido floral"/>
    <x v="0"/>
    <x v="1"/>
    <n v="139.9"/>
    <n v="1"/>
    <s v="Ana Souza"/>
    <n v="139.9"/>
  </r>
  <r>
    <n v="3"/>
    <x v="2"/>
    <s v="Calça jeans"/>
    <x v="0"/>
    <x v="0"/>
    <n v="99.9"/>
    <n v="1"/>
    <s v="Pedro Alves"/>
    <n v="99.9"/>
  </r>
  <r>
    <n v="4"/>
    <x v="3"/>
    <s v="Blusa elegante"/>
    <x v="1"/>
    <x v="1"/>
    <n v="89.9"/>
    <n v="2"/>
    <s v="Fernanda Silva"/>
    <n v="179.8"/>
  </r>
  <r>
    <n v="5"/>
    <x v="4"/>
    <s v="Bermuda"/>
    <x v="2"/>
    <x v="0"/>
    <n v="89.9"/>
    <n v="1"/>
    <s v="Lucas Ferreira"/>
    <n v="89.9"/>
  </r>
  <r>
    <n v="6"/>
    <x v="5"/>
    <s v="Saia Midi"/>
    <x v="0"/>
    <x v="1"/>
    <n v="119.9"/>
    <n v="1"/>
    <s v="Juliana Rocha"/>
    <n v="119.9"/>
  </r>
  <r>
    <n v="7"/>
    <x v="6"/>
    <s v="Camiseta estampada"/>
    <x v="0"/>
    <x v="0"/>
    <n v="79.900000000000006"/>
    <n v="3"/>
    <s v="Bruno Martins"/>
    <n v="239.70000000000002"/>
  </r>
  <r>
    <n v="8"/>
    <x v="7"/>
    <s v="Calça legging"/>
    <x v="2"/>
    <x v="1"/>
    <n v="89.9"/>
    <n v="2"/>
    <s v="Mariana Costa"/>
    <n v="179.8"/>
  </r>
  <r>
    <n v="9"/>
    <x v="8"/>
    <s v="Camisa social"/>
    <x v="1"/>
    <x v="0"/>
    <n v="129.9"/>
    <n v="1"/>
    <s v="Rafael Gomes"/>
    <n v="129.9"/>
  </r>
  <r>
    <n v="10"/>
    <x v="9"/>
    <s v="Jaqueta jeans "/>
    <x v="0"/>
    <x v="1"/>
    <n v="179.9"/>
    <n v="1"/>
    <s v="Beatriz Santos "/>
    <n v="179.9"/>
  </r>
  <r>
    <n v="11"/>
    <x v="10"/>
    <s v="Camiseta básica"/>
    <x v="0"/>
    <x v="0"/>
    <n v="59.9"/>
    <n v="1"/>
    <s v="Carlos Lima"/>
    <n v="59.9"/>
  </r>
  <r>
    <n v="12"/>
    <x v="11"/>
    <s v="Vestido floral"/>
    <x v="0"/>
    <x v="1"/>
    <n v="139.9"/>
    <n v="2"/>
    <s v="Ana Souza"/>
    <n v="279.8"/>
  </r>
  <r>
    <n v="13"/>
    <x v="12"/>
    <s v="Calça jeans"/>
    <x v="0"/>
    <x v="0"/>
    <n v="149.9"/>
    <n v="1"/>
    <s v="Pedro Alves"/>
    <n v="149.9"/>
  </r>
  <r>
    <n v="14"/>
    <x v="13"/>
    <s v="Blusa elegante"/>
    <x v="1"/>
    <x v="1"/>
    <n v="99.9"/>
    <n v="1"/>
    <s v="Fernanda Silva"/>
    <n v="99.9"/>
  </r>
  <r>
    <n v="15"/>
    <x v="14"/>
    <s v="Bermuda"/>
    <x v="2"/>
    <x v="0"/>
    <n v="89.9"/>
    <n v="2"/>
    <s v="Lucas Ferreira"/>
    <n v="179.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33A70E4-2FD0-4ACC-A46D-188909ABE53E}" name="Tabela dinâmica3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E3:E4" firstHeaderRow="1" firstDataRow="1" firstDataCol="0"/>
  <pivotFields count="9">
    <pivotField dataField="1" compact="0" outline="0" showAll="0"/>
    <pivotField compact="0" numFmtId="14" outline="0" showAll="0"/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compact="0" numFmtId="164" outline="0" showAll="0"/>
  </pivotFields>
  <rowItems count="1">
    <i/>
  </rowItems>
  <colItems count="1">
    <i/>
  </colItems>
  <dataFields count="1">
    <dataField name="Contagem de ID VENDA" fld="0" subtotal="count" baseField="0" baseItem="0"/>
  </dataFields>
  <formats count="5">
    <format dxfId="50">
      <pivotArea type="all" dataOnly="0" outline="0" fieldPosition="0"/>
    </format>
    <format dxfId="51">
      <pivotArea outline="0" collapsedLevelsAreSubtotals="1" fieldPosition="0"/>
    </format>
    <format dxfId="52">
      <pivotArea dataOnly="0" labelOnly="1" outline="0" axis="axisValues" fieldPosition="0"/>
    </format>
    <format dxfId="53">
      <pivotArea outline="0" collapsedLevelsAreSubtotals="1" fieldPosition="0"/>
    </format>
    <format dxfId="54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4647D4-0D1E-49F6-B4AA-653C17717913}" name="Tabela dinâmica2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>
  <location ref="B3:C19" firstHeaderRow="1" firstDataRow="1" firstDataCol="1"/>
  <pivotFields count="9">
    <pivotField compact="0" outline="0" showAll="0"/>
    <pivotField axis="axisRow" compact="0" numFmtId="14" outline="0" showAll="0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compact="0" outline="0" showAll="0"/>
    <pivotField compact="0" outline="0" showAll="0"/>
    <pivotField compact="0" outline="0" showAll="0"/>
    <pivotField compact="0" numFmtId="164" outline="0" showAll="0"/>
    <pivotField compact="0" outline="0" showAll="0"/>
    <pivotField compact="0" outline="0" showAll="0"/>
    <pivotField dataField="1" compact="0" numFmtId="164" outline="0" showAll="0"/>
  </pivotFields>
  <rowFields count="1">
    <field x="1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Soma de TOTAL" fld="8" baseField="0" baseItem="0" numFmtId="164"/>
  </dataFields>
  <formats count="9">
    <format dxfId="41">
      <pivotArea type="all" dataOnly="0" outline="0" fieldPosition="0"/>
    </format>
    <format dxfId="42">
      <pivotArea outline="0" collapsedLevelsAreSubtotals="1" fieldPosition="0"/>
    </format>
    <format dxfId="43">
      <pivotArea field="1" type="button" dataOnly="0" labelOnly="1" outline="0" axis="axisRow" fieldPosition="0"/>
    </format>
    <format dxfId="44">
      <pivotArea dataOnly="0" labelOnly="1" outline="0" fieldPosition="0">
        <references count="1">
          <reference field="1" count="0"/>
        </references>
      </pivotArea>
    </format>
    <format dxfId="45">
      <pivotArea dataOnly="0" labelOnly="1" grandRow="1" outline="0" fieldPosition="0"/>
    </format>
    <format dxfId="46">
      <pivotArea dataOnly="0" labelOnly="1" outline="0" axis="axisValues" fieldPosition="0"/>
    </format>
    <format dxfId="47">
      <pivotArea field="1" type="button" dataOnly="0" labelOnly="1" outline="0" axis="axisRow" fieldPosition="0"/>
    </format>
    <format dxfId="48">
      <pivotArea field="1" type="button" dataOnly="0" labelOnly="1" outline="0" axis="axisRow" fieldPosition="0"/>
    </format>
    <format dxfId="49">
      <pivotArea dataOnly="0" labelOnly="1" outline="0" axis="axisValues" fieldPosition="0"/>
    </format>
  </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95E174-BE8F-4737-B2A3-C7F22E2698F1}" name="Tabela dinâmica5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G4:H7" firstHeaderRow="1" firstDataRow="1" firstDataCol="1"/>
  <pivotFields count="9">
    <pivotField compact="0" outline="0" showAll="0"/>
    <pivotField compact="0" numFmtId="14" outline="0" showAll="0"/>
    <pivotField compact="0" outline="0" showAll="0"/>
    <pivotField compact="0" outline="0" showAll="0"/>
    <pivotField axis="axisRow" compact="0" outline="0" showAll="0">
      <items count="3">
        <item x="1"/>
        <item x="0"/>
        <item t="default"/>
      </items>
    </pivotField>
    <pivotField compact="0" numFmtId="164" outline="0" showAll="0"/>
    <pivotField compact="0" outline="0" showAll="0"/>
    <pivotField compact="0" outline="0" showAll="0"/>
    <pivotField dataField="1" compact="0" numFmtId="164" outline="0" showAll="0"/>
  </pivotFields>
  <rowFields count="1">
    <field x="4"/>
  </rowFields>
  <rowItems count="3">
    <i>
      <x/>
    </i>
    <i>
      <x v="1"/>
    </i>
    <i t="grand">
      <x/>
    </i>
  </rowItems>
  <colItems count="1">
    <i/>
  </colItems>
  <dataFields count="1">
    <dataField name="Soma de TOTAL" fld="8" baseField="0" baseItem="0" numFmtId="164"/>
  </dataFields>
  <formats count="8">
    <format dxfId="33">
      <pivotArea type="all" dataOnly="0" outline="0" fieldPosition="0"/>
    </format>
    <format dxfId="34">
      <pivotArea outline="0" collapsedLevelsAreSubtotals="1" fieldPosition="0"/>
    </format>
    <format dxfId="35">
      <pivotArea field="4" type="button" dataOnly="0" labelOnly="1" outline="0" axis="axisRow" fieldPosition="0"/>
    </format>
    <format dxfId="36">
      <pivotArea dataOnly="0" labelOnly="1" outline="0" fieldPosition="0">
        <references count="1">
          <reference field="4" count="0"/>
        </references>
      </pivotArea>
    </format>
    <format dxfId="37">
      <pivotArea dataOnly="0" labelOnly="1" grandRow="1" outline="0" fieldPosition="0"/>
    </format>
    <format dxfId="38">
      <pivotArea dataOnly="0" labelOnly="1" outline="0" axis="axisValues" fieldPosition="0"/>
    </format>
    <format dxfId="39">
      <pivotArea field="4" type="button" dataOnly="0" labelOnly="1" outline="0" axis="axisRow" fieldPosition="0"/>
    </format>
    <format dxfId="40">
      <pivotArea dataOnly="0" labelOnly="1" outline="0" axis="axisValues" fieldPosition="0"/>
    </format>
  </formats>
  <chartFormats count="12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2" format="6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3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8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3" format="9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4" format="12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B543C7-4EE6-4324-A026-6A2D60F395E5}" name="Tabela dinâmica4" cacheId="3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compact="0" compactData="0" multipleFieldFilters="0" chartFormat="5">
  <location ref="E11:F15" firstHeaderRow="1" firstDataRow="1" firstDataCol="1"/>
  <pivotFields count="9">
    <pivotField compact="0" outline="0" showAll="0"/>
    <pivotField compact="0" numFmtId="14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compact="0" numFmtId="164" outline="0" showAll="0"/>
    <pivotField compact="0" outline="0" showAll="0"/>
    <pivotField compact="0" outline="0" showAll="0"/>
    <pivotField dataField="1" compact="0" numFmtId="164" outline="0"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TOTAL" fld="8" baseField="0" baseItem="0" numFmtId="164"/>
  </dataFields>
  <formats count="9">
    <format dxfId="24">
      <pivotArea dataOnly="0" labelOnly="1" outline="0" axis="axisValues" fieldPosition="0"/>
    </format>
    <format dxfId="25">
      <pivotArea type="all" dataOnly="0" outline="0" fieldPosition="0"/>
    </format>
    <format dxfId="26">
      <pivotArea outline="0" collapsedLevelsAreSubtotals="1" fieldPosition="0"/>
    </format>
    <format dxfId="27">
      <pivotArea field="3" type="button" dataOnly="0" labelOnly="1" outline="0" axis="axisRow" fieldPosition="0"/>
    </format>
    <format dxfId="28">
      <pivotArea dataOnly="0" labelOnly="1" outline="0" fieldPosition="0">
        <references count="1">
          <reference field="3" count="0"/>
        </references>
      </pivotArea>
    </format>
    <format dxfId="29">
      <pivotArea dataOnly="0" labelOnly="1" grandRow="1" outline="0" fieldPosition="0"/>
    </format>
    <format dxfId="30">
      <pivotArea dataOnly="0" labelOnly="1" outline="0" axis="axisValues" fieldPosition="0"/>
    </format>
    <format dxfId="31">
      <pivotArea field="3" type="button" dataOnly="0" labelOnly="1" outline="0" axis="axisRow" fieldPosition="0"/>
    </format>
    <format dxfId="32">
      <pivotArea dataOnly="0" labelOnly="1" outline="0" axis="axisValues" fieldPosition="0"/>
    </format>
  </formats>
  <chartFormats count="7"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Medium9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71C398-34D3-461C-845A-0C12C23B5FC3}" name="Tabela1" displayName="Tabela1" ref="B3:J18" totalsRowShown="0" headerRowDxfId="23">
  <autoFilter ref="B3:J18" xr:uid="{A771C398-34D3-461C-845A-0C12C23B5FC3}"/>
  <tableColumns count="9">
    <tableColumn id="1" xr3:uid="{1A0445DC-5E00-46E8-8986-47FD991D908A}" name="ID VENDA" dataDxfId="22"/>
    <tableColumn id="2" xr3:uid="{6074C744-C56B-4430-AE28-F8928C4A5F35}" name="DATA" dataDxfId="21"/>
    <tableColumn id="3" xr3:uid="{4A4D7D2F-2DCD-478A-95EA-AD08C91A4D9E}" name="PRODUTO" dataDxfId="20"/>
    <tableColumn id="4" xr3:uid="{3097DADE-8C13-447C-9F8B-5FD316149B2E}" name="CATEGORIA" dataDxfId="19"/>
    <tableColumn id="5" xr3:uid="{52E778A7-25A0-40CD-A5F3-CFFDEB7C30FB}" name="GÊNERO" dataDxfId="18"/>
    <tableColumn id="6" xr3:uid="{C29CED85-B1D0-4044-9E66-5EE00AC21189}" name="PREÇO" dataDxfId="17"/>
    <tableColumn id="7" xr3:uid="{F2270355-7284-4E84-98E6-5E26FFD31030}" name="QUANTIDADE" dataDxfId="16"/>
    <tableColumn id="8" xr3:uid="{01E49385-D513-4228-90B0-7A6308B5BA78}" name="CLIENTE" dataDxfId="15"/>
    <tableColumn id="9" xr3:uid="{B084B6C8-928B-43FC-85E3-63ACE080D3EC}" name="TOTAL" dataDxfId="14">
      <calculatedColumnFormula>G4*H4</calculatedColumnFormula>
    </tableColumn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40D0C0C-0A6C-4971-95E5-59268EFCAAB4}" name="Tabela2" displayName="Tabela2" ref="B2:G12" totalsRowShown="0" headerRowDxfId="13">
  <autoFilter ref="B2:G12" xr:uid="{840D0C0C-0A6C-4971-95E5-59268EFCAAB4}"/>
  <sortState xmlns:xlrd2="http://schemas.microsoft.com/office/spreadsheetml/2017/richdata2" ref="B3:G12">
    <sortCondition descending="1" ref="B2:B12"/>
  </sortState>
  <tableColumns count="6">
    <tableColumn id="1" xr3:uid="{8D2AE7A2-250E-40FE-A79F-BAF45CD4996E}" name="PRODUTOS" dataDxfId="12"/>
    <tableColumn id="2" xr3:uid="{95EF2FCB-FF2E-440B-8ADA-79526F503958}" name="CATEGORIA" dataDxfId="11"/>
    <tableColumn id="3" xr3:uid="{59E6FCF1-F486-4B39-8617-B4FD4381331C}" name="GÊNERO" dataDxfId="10"/>
    <tableColumn id="4" xr3:uid="{5B0ED3A2-C804-4B04-9C32-00A83D4E01B2}" name="PREÇO" dataDxfId="9"/>
    <tableColumn id="5" xr3:uid="{42E12D24-1D15-49B6-8742-AA6412278572}" name="CUSTO" dataDxfId="8"/>
    <tableColumn id="6" xr3:uid="{DFE6A435-D566-4207-A49F-853D9E7988E8}" name="ESTOQUE" dataDxfId="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FC72950-3355-4D27-9B09-4F70535E0835}" name="Tabela3" displayName="Tabela3" ref="B2:F12" totalsRowShown="0" headerRowDxfId="6" dataDxfId="5">
  <autoFilter ref="B2:F12" xr:uid="{1FC72950-3355-4D27-9B09-4F70535E0835}"/>
  <tableColumns count="5">
    <tableColumn id="1" xr3:uid="{AEF9DD4E-856F-41BF-8EEE-51E3E3A31FAB}" name="CLIENTE" dataDxfId="4"/>
    <tableColumn id="2" xr3:uid="{26844F41-0D2A-44B5-A35B-953A040464D7}" name="IDADE" dataDxfId="3"/>
    <tableColumn id="3" xr3:uid="{5B7855CD-FC4B-42BF-85C0-458EADF9B585}" name="CIDADE" dataDxfId="2"/>
    <tableColumn id="4" xr3:uid="{49DD2FFF-F264-436D-AB0F-BAE0E2644ECC}" name="ESTADO" dataDxfId="1"/>
    <tableColumn id="5" xr3:uid="{D69D2996-D905-40D9-B0C1-5A22A468C4FF}" name="GÊNERO" dataDxfId="0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18"/>
  <sheetViews>
    <sheetView workbookViewId="0">
      <selection activeCell="M9" sqref="M9"/>
    </sheetView>
  </sheetViews>
  <sheetFormatPr defaultRowHeight="15"/>
  <cols>
    <col min="2" max="2" width="14.5703125" bestFit="1" customWidth="1"/>
    <col min="3" max="3" width="11.42578125" bestFit="1" customWidth="1"/>
    <col min="4" max="4" width="19.5703125" bestFit="1" customWidth="1"/>
    <col min="5" max="5" width="16.42578125" bestFit="1" customWidth="1"/>
    <col min="6" max="6" width="12.7109375" bestFit="1" customWidth="1"/>
    <col min="7" max="7" width="11" bestFit="1" customWidth="1"/>
    <col min="8" max="8" width="18.7109375" bestFit="1" customWidth="1"/>
    <col min="9" max="9" width="14.140625" bestFit="1" customWidth="1"/>
    <col min="10" max="10" width="10.85546875" bestFit="1" customWidth="1"/>
  </cols>
  <sheetData>
    <row r="2" spans="2:10" ht="18.75">
      <c r="B2" s="33" t="s">
        <v>0</v>
      </c>
      <c r="C2" s="34"/>
      <c r="D2" s="34"/>
      <c r="E2" s="34"/>
      <c r="F2" s="34"/>
      <c r="G2" s="34"/>
      <c r="H2" s="34"/>
      <c r="I2" s="34"/>
      <c r="J2" s="35"/>
    </row>
    <row r="3" spans="2:10" ht="15.75">
      <c r="B3" s="19" t="s">
        <v>1</v>
      </c>
      <c r="C3" s="19" t="s">
        <v>2</v>
      </c>
      <c r="D3" s="19" t="s">
        <v>3</v>
      </c>
      <c r="E3" s="19" t="s">
        <v>4</v>
      </c>
      <c r="F3" s="19" t="s">
        <v>5</v>
      </c>
      <c r="G3" s="19" t="s">
        <v>6</v>
      </c>
      <c r="H3" s="19" t="s">
        <v>7</v>
      </c>
      <c r="I3" s="19" t="s">
        <v>8</v>
      </c>
      <c r="J3" s="19" t="s">
        <v>9</v>
      </c>
    </row>
    <row r="4" spans="2:10">
      <c r="B4">
        <v>1</v>
      </c>
      <c r="C4" s="20">
        <v>46082</v>
      </c>
      <c r="D4" t="s">
        <v>10</v>
      </c>
      <c r="E4" t="s">
        <v>11</v>
      </c>
      <c r="F4" s="21" t="s">
        <v>12</v>
      </c>
      <c r="G4" s="22">
        <v>59.9</v>
      </c>
      <c r="H4">
        <v>2</v>
      </c>
      <c r="I4" t="s">
        <v>13</v>
      </c>
      <c r="J4" s="22">
        <f>G4*H4</f>
        <v>119.8</v>
      </c>
    </row>
    <row r="5" spans="2:10">
      <c r="B5">
        <v>2</v>
      </c>
      <c r="C5" s="20">
        <v>46083</v>
      </c>
      <c r="D5" t="s">
        <v>14</v>
      </c>
      <c r="E5" t="s">
        <v>11</v>
      </c>
      <c r="F5" s="21" t="s">
        <v>15</v>
      </c>
      <c r="G5" s="22">
        <v>139.9</v>
      </c>
      <c r="H5">
        <v>1</v>
      </c>
      <c r="I5" t="s">
        <v>16</v>
      </c>
      <c r="J5" s="22">
        <f>G5*H5</f>
        <v>139.9</v>
      </c>
    </row>
    <row r="6" spans="2:10">
      <c r="B6">
        <v>3</v>
      </c>
      <c r="C6" s="20">
        <v>46084</v>
      </c>
      <c r="D6" t="s">
        <v>17</v>
      </c>
      <c r="E6" t="s">
        <v>11</v>
      </c>
      <c r="F6" s="21" t="s">
        <v>12</v>
      </c>
      <c r="G6" s="22">
        <v>99.9</v>
      </c>
      <c r="H6">
        <v>1</v>
      </c>
      <c r="I6" t="s">
        <v>18</v>
      </c>
      <c r="J6" s="22">
        <f>G6*H6</f>
        <v>99.9</v>
      </c>
    </row>
    <row r="7" spans="2:10">
      <c r="B7">
        <v>4</v>
      </c>
      <c r="C7" s="20">
        <v>46085</v>
      </c>
      <c r="D7" t="s">
        <v>19</v>
      </c>
      <c r="E7" t="s">
        <v>20</v>
      </c>
      <c r="F7" s="21" t="s">
        <v>15</v>
      </c>
      <c r="G7" s="22">
        <v>89.9</v>
      </c>
      <c r="H7">
        <v>2</v>
      </c>
      <c r="I7" t="s">
        <v>21</v>
      </c>
      <c r="J7" s="22">
        <f>G7*H7</f>
        <v>179.8</v>
      </c>
    </row>
    <row r="8" spans="2:10">
      <c r="B8">
        <v>5</v>
      </c>
      <c r="C8" s="20">
        <v>46086</v>
      </c>
      <c r="D8" t="s">
        <v>22</v>
      </c>
      <c r="E8" t="s">
        <v>23</v>
      </c>
      <c r="F8" s="21" t="s">
        <v>12</v>
      </c>
      <c r="G8" s="22">
        <v>89.9</v>
      </c>
      <c r="H8">
        <v>1</v>
      </c>
      <c r="I8" t="s">
        <v>24</v>
      </c>
      <c r="J8" s="22">
        <f>G8*H8</f>
        <v>89.9</v>
      </c>
    </row>
    <row r="9" spans="2:10">
      <c r="B9">
        <v>6</v>
      </c>
      <c r="C9" s="20">
        <v>46087</v>
      </c>
      <c r="D9" t="s">
        <v>25</v>
      </c>
      <c r="E9" t="s">
        <v>11</v>
      </c>
      <c r="F9" s="21" t="s">
        <v>15</v>
      </c>
      <c r="G9" s="22">
        <v>119.9</v>
      </c>
      <c r="H9">
        <v>1</v>
      </c>
      <c r="I9" t="s">
        <v>26</v>
      </c>
      <c r="J9" s="22">
        <f>G9*H9</f>
        <v>119.9</v>
      </c>
    </row>
    <row r="10" spans="2:10">
      <c r="B10">
        <v>7</v>
      </c>
      <c r="C10" s="20">
        <v>46088</v>
      </c>
      <c r="D10" t="s">
        <v>27</v>
      </c>
      <c r="E10" t="s">
        <v>11</v>
      </c>
      <c r="F10" s="21" t="s">
        <v>12</v>
      </c>
      <c r="G10" s="22">
        <v>79.900000000000006</v>
      </c>
      <c r="H10">
        <v>3</v>
      </c>
      <c r="I10" t="s">
        <v>28</v>
      </c>
      <c r="J10" s="22">
        <f>G10*H10</f>
        <v>239.70000000000002</v>
      </c>
    </row>
    <row r="11" spans="2:10">
      <c r="B11">
        <v>8</v>
      </c>
      <c r="C11" s="20">
        <v>46089</v>
      </c>
      <c r="D11" t="s">
        <v>29</v>
      </c>
      <c r="E11" t="s">
        <v>23</v>
      </c>
      <c r="F11" s="21" t="s">
        <v>15</v>
      </c>
      <c r="G11" s="22">
        <v>89.9</v>
      </c>
      <c r="H11">
        <v>2</v>
      </c>
      <c r="I11" t="s">
        <v>30</v>
      </c>
      <c r="J11" s="22">
        <f t="shared" ref="J11:J18" si="0">G11*H11</f>
        <v>179.8</v>
      </c>
    </row>
    <row r="12" spans="2:10">
      <c r="B12">
        <v>9</v>
      </c>
      <c r="C12" s="20">
        <v>46090</v>
      </c>
      <c r="D12" t="s">
        <v>31</v>
      </c>
      <c r="E12" t="s">
        <v>20</v>
      </c>
      <c r="F12" s="21" t="s">
        <v>12</v>
      </c>
      <c r="G12" s="22">
        <v>129.9</v>
      </c>
      <c r="H12">
        <v>1</v>
      </c>
      <c r="I12" t="s">
        <v>32</v>
      </c>
      <c r="J12" s="22">
        <f t="shared" si="0"/>
        <v>129.9</v>
      </c>
    </row>
    <row r="13" spans="2:10">
      <c r="B13">
        <v>10</v>
      </c>
      <c r="C13" s="20">
        <v>46091</v>
      </c>
      <c r="D13" t="s">
        <v>33</v>
      </c>
      <c r="E13" t="s">
        <v>11</v>
      </c>
      <c r="F13" s="21" t="s">
        <v>15</v>
      </c>
      <c r="G13" s="22">
        <v>179.9</v>
      </c>
      <c r="H13">
        <v>1</v>
      </c>
      <c r="I13" t="s">
        <v>34</v>
      </c>
      <c r="J13" s="22">
        <f t="shared" si="0"/>
        <v>179.9</v>
      </c>
    </row>
    <row r="14" spans="2:10">
      <c r="B14">
        <v>11</v>
      </c>
      <c r="C14" s="20">
        <v>46092</v>
      </c>
      <c r="D14" t="s">
        <v>10</v>
      </c>
      <c r="E14" t="s">
        <v>11</v>
      </c>
      <c r="F14" s="21" t="s">
        <v>12</v>
      </c>
      <c r="G14" s="22">
        <v>59.9</v>
      </c>
      <c r="H14">
        <v>1</v>
      </c>
      <c r="I14" t="s">
        <v>13</v>
      </c>
      <c r="J14" s="22">
        <f t="shared" si="0"/>
        <v>59.9</v>
      </c>
    </row>
    <row r="15" spans="2:10">
      <c r="B15">
        <v>12</v>
      </c>
      <c r="C15" s="20">
        <v>46093</v>
      </c>
      <c r="D15" t="s">
        <v>14</v>
      </c>
      <c r="E15" t="s">
        <v>11</v>
      </c>
      <c r="F15" s="21" t="s">
        <v>15</v>
      </c>
      <c r="G15" s="22">
        <v>139.9</v>
      </c>
      <c r="H15">
        <v>2</v>
      </c>
      <c r="I15" t="s">
        <v>16</v>
      </c>
      <c r="J15" s="22">
        <f t="shared" si="0"/>
        <v>279.8</v>
      </c>
    </row>
    <row r="16" spans="2:10">
      <c r="B16">
        <v>13</v>
      </c>
      <c r="C16" s="20">
        <v>46094</v>
      </c>
      <c r="D16" t="s">
        <v>17</v>
      </c>
      <c r="E16" t="s">
        <v>11</v>
      </c>
      <c r="F16" s="21" t="s">
        <v>12</v>
      </c>
      <c r="G16" s="22">
        <v>149.9</v>
      </c>
      <c r="H16">
        <v>1</v>
      </c>
      <c r="I16" t="s">
        <v>18</v>
      </c>
      <c r="J16" s="22">
        <f t="shared" si="0"/>
        <v>149.9</v>
      </c>
    </row>
    <row r="17" spans="2:10">
      <c r="B17">
        <v>14</v>
      </c>
      <c r="C17" s="20">
        <v>46095</v>
      </c>
      <c r="D17" t="s">
        <v>19</v>
      </c>
      <c r="E17" t="s">
        <v>20</v>
      </c>
      <c r="F17" s="21" t="s">
        <v>15</v>
      </c>
      <c r="G17" s="22">
        <v>99.9</v>
      </c>
      <c r="H17">
        <v>1</v>
      </c>
      <c r="I17" t="s">
        <v>21</v>
      </c>
      <c r="J17" s="22">
        <f t="shared" si="0"/>
        <v>99.9</v>
      </c>
    </row>
    <row r="18" spans="2:10">
      <c r="B18">
        <v>15</v>
      </c>
      <c r="C18" s="20">
        <v>46096</v>
      </c>
      <c r="D18" t="s">
        <v>22</v>
      </c>
      <c r="E18" t="s">
        <v>23</v>
      </c>
      <c r="F18" s="21" t="s">
        <v>12</v>
      </c>
      <c r="G18" s="22">
        <v>89.9</v>
      </c>
      <c r="H18">
        <v>2</v>
      </c>
      <c r="I18" t="s">
        <v>24</v>
      </c>
      <c r="J18" s="22">
        <f t="shared" si="0"/>
        <v>179.8</v>
      </c>
    </row>
  </sheetData>
  <mergeCells count="1">
    <mergeCell ref="B2:J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D578D9-F3B7-467D-AFFA-7B4A50679F08}">
  <dimension ref="B1:G12"/>
  <sheetViews>
    <sheetView workbookViewId="0">
      <selection activeCell="J4" sqref="J4"/>
    </sheetView>
  </sheetViews>
  <sheetFormatPr defaultRowHeight="15"/>
  <cols>
    <col min="2" max="2" width="19.5703125" bestFit="1" customWidth="1"/>
    <col min="3" max="3" width="16.42578125" bestFit="1" customWidth="1"/>
    <col min="4" max="4" width="12.7109375" bestFit="1" customWidth="1"/>
    <col min="5" max="5" width="11" bestFit="1" customWidth="1"/>
    <col min="6" max="6" width="11.140625" bestFit="1" customWidth="1"/>
    <col min="7" max="7" width="13.85546875" bestFit="1" customWidth="1"/>
  </cols>
  <sheetData>
    <row r="1" spans="2:7" ht="18.75">
      <c r="B1" s="36" t="s">
        <v>35</v>
      </c>
      <c r="C1" s="37"/>
      <c r="D1" s="37"/>
      <c r="E1" s="37"/>
      <c r="F1" s="37"/>
      <c r="G1" s="38"/>
    </row>
    <row r="2" spans="2:7" ht="15.75">
      <c r="B2" s="23" t="s">
        <v>35</v>
      </c>
      <c r="C2" s="23" t="s">
        <v>4</v>
      </c>
      <c r="D2" s="23" t="s">
        <v>5</v>
      </c>
      <c r="E2" s="23" t="s">
        <v>6</v>
      </c>
      <c r="F2" s="23" t="s">
        <v>36</v>
      </c>
      <c r="G2" s="23" t="s">
        <v>37</v>
      </c>
    </row>
    <row r="3" spans="2:7">
      <c r="B3" t="s">
        <v>14</v>
      </c>
      <c r="C3" t="s">
        <v>11</v>
      </c>
      <c r="D3" s="21" t="s">
        <v>15</v>
      </c>
      <c r="E3" s="22">
        <v>139</v>
      </c>
      <c r="F3" s="22">
        <v>65</v>
      </c>
      <c r="G3">
        <v>55</v>
      </c>
    </row>
    <row r="4" spans="2:7">
      <c r="B4" t="s">
        <v>25</v>
      </c>
      <c r="C4" t="s">
        <v>11</v>
      </c>
      <c r="D4" s="21" t="s">
        <v>15</v>
      </c>
      <c r="E4" s="22">
        <v>119</v>
      </c>
      <c r="F4" s="22">
        <v>55</v>
      </c>
      <c r="G4">
        <v>50</v>
      </c>
    </row>
    <row r="5" spans="2:7">
      <c r="B5" t="s">
        <v>38</v>
      </c>
      <c r="C5" t="s">
        <v>11</v>
      </c>
      <c r="D5" s="21" t="s">
        <v>15</v>
      </c>
      <c r="E5" s="22">
        <v>179</v>
      </c>
      <c r="F5" s="22">
        <v>85</v>
      </c>
      <c r="G5">
        <v>40</v>
      </c>
    </row>
    <row r="6" spans="2:7">
      <c r="B6" t="s">
        <v>27</v>
      </c>
      <c r="C6" t="s">
        <v>39</v>
      </c>
      <c r="D6" s="21" t="s">
        <v>12</v>
      </c>
      <c r="E6" s="22">
        <v>79.989999999999995</v>
      </c>
      <c r="F6" s="22">
        <v>35</v>
      </c>
      <c r="G6">
        <v>80</v>
      </c>
    </row>
    <row r="7" spans="2:7">
      <c r="B7" t="s">
        <v>10</v>
      </c>
      <c r="C7" t="s">
        <v>11</v>
      </c>
      <c r="D7" s="21" t="s">
        <v>12</v>
      </c>
      <c r="E7" s="22">
        <v>59.99</v>
      </c>
      <c r="F7" s="22">
        <v>25</v>
      </c>
      <c r="G7">
        <v>120</v>
      </c>
    </row>
    <row r="8" spans="2:7">
      <c r="B8" t="s">
        <v>31</v>
      </c>
      <c r="C8" t="s">
        <v>20</v>
      </c>
      <c r="D8" s="21" t="s">
        <v>12</v>
      </c>
      <c r="E8" s="22">
        <v>129.9</v>
      </c>
      <c r="F8" s="22">
        <v>60</v>
      </c>
      <c r="G8">
        <v>50</v>
      </c>
    </row>
    <row r="9" spans="2:7">
      <c r="B9" t="s">
        <v>29</v>
      </c>
      <c r="C9" t="s">
        <v>23</v>
      </c>
      <c r="D9" s="21" t="s">
        <v>15</v>
      </c>
      <c r="E9" s="22">
        <v>89.9</v>
      </c>
      <c r="F9" s="22">
        <v>35</v>
      </c>
      <c r="G9">
        <v>90</v>
      </c>
    </row>
    <row r="10" spans="2:7">
      <c r="B10" t="s">
        <v>17</v>
      </c>
      <c r="C10" t="s">
        <v>11</v>
      </c>
      <c r="D10" s="21" t="s">
        <v>12</v>
      </c>
      <c r="E10" s="22">
        <v>149.9</v>
      </c>
      <c r="F10" s="22">
        <v>70</v>
      </c>
      <c r="G10">
        <v>60</v>
      </c>
    </row>
    <row r="11" spans="2:7">
      <c r="B11" t="s">
        <v>19</v>
      </c>
      <c r="C11" t="s">
        <v>20</v>
      </c>
      <c r="D11" s="21" t="s">
        <v>15</v>
      </c>
      <c r="E11" s="22">
        <v>99.9</v>
      </c>
      <c r="F11" s="22">
        <v>45</v>
      </c>
      <c r="G11">
        <v>65</v>
      </c>
    </row>
    <row r="12" spans="2:7">
      <c r="B12" t="s">
        <v>22</v>
      </c>
      <c r="C12" t="s">
        <v>23</v>
      </c>
      <c r="D12" s="21" t="s">
        <v>12</v>
      </c>
      <c r="E12" s="22">
        <v>89</v>
      </c>
      <c r="F12" s="22">
        <v>40</v>
      </c>
      <c r="G12">
        <v>70</v>
      </c>
    </row>
  </sheetData>
  <mergeCells count="1">
    <mergeCell ref="B1:G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A0E223-8BB7-4173-95A2-1984E0562916}">
  <dimension ref="B1:F12"/>
  <sheetViews>
    <sheetView workbookViewId="0">
      <selection activeCell="E20" sqref="E20"/>
    </sheetView>
  </sheetViews>
  <sheetFormatPr defaultRowHeight="15"/>
  <cols>
    <col min="2" max="2" width="14" bestFit="1" customWidth="1"/>
    <col min="3" max="3" width="10.5703125" bestFit="1" customWidth="1"/>
    <col min="4" max="4" width="12" bestFit="1" customWidth="1"/>
    <col min="5" max="5" width="12.5703125" bestFit="1" customWidth="1"/>
    <col min="6" max="6" width="12.7109375" bestFit="1" customWidth="1"/>
  </cols>
  <sheetData>
    <row r="1" spans="2:6" ht="18.75">
      <c r="B1" s="36" t="s">
        <v>40</v>
      </c>
      <c r="C1" s="37"/>
      <c r="D1" s="37"/>
      <c r="E1" s="37"/>
      <c r="F1" s="38"/>
    </row>
    <row r="2" spans="2:6" ht="15.75">
      <c r="B2" s="23" t="s">
        <v>8</v>
      </c>
      <c r="C2" s="23" t="s">
        <v>41</v>
      </c>
      <c r="D2" s="23" t="s">
        <v>42</v>
      </c>
      <c r="E2" s="23" t="s">
        <v>43</v>
      </c>
      <c r="F2" s="23" t="s">
        <v>5</v>
      </c>
    </row>
    <row r="3" spans="2:6">
      <c r="B3" t="s">
        <v>16</v>
      </c>
      <c r="C3">
        <v>22</v>
      </c>
      <c r="D3" t="s">
        <v>44</v>
      </c>
      <c r="E3" t="s">
        <v>45</v>
      </c>
      <c r="F3" s="21" t="s">
        <v>15</v>
      </c>
    </row>
    <row r="4" spans="2:6">
      <c r="B4" t="s">
        <v>13</v>
      </c>
      <c r="C4">
        <v>30</v>
      </c>
      <c r="D4" t="s">
        <v>46</v>
      </c>
      <c r="E4" t="s">
        <v>45</v>
      </c>
      <c r="F4" s="21" t="s">
        <v>12</v>
      </c>
    </row>
    <row r="5" spans="2:6">
      <c r="B5" t="s">
        <v>26</v>
      </c>
      <c r="C5">
        <v>27</v>
      </c>
      <c r="D5" t="s">
        <v>47</v>
      </c>
      <c r="E5" t="s">
        <v>45</v>
      </c>
      <c r="F5" s="21" t="s">
        <v>15</v>
      </c>
    </row>
    <row r="6" spans="2:6">
      <c r="B6" t="s">
        <v>18</v>
      </c>
      <c r="C6">
        <v>35</v>
      </c>
      <c r="D6" t="s">
        <v>44</v>
      </c>
      <c r="E6" t="s">
        <v>45</v>
      </c>
      <c r="F6" s="21" t="s">
        <v>12</v>
      </c>
    </row>
    <row r="7" spans="2:6">
      <c r="B7" t="s">
        <v>30</v>
      </c>
      <c r="C7">
        <v>24</v>
      </c>
      <c r="D7" t="s">
        <v>48</v>
      </c>
      <c r="E7" t="s">
        <v>45</v>
      </c>
      <c r="F7" s="21" t="s">
        <v>15</v>
      </c>
    </row>
    <row r="8" spans="2:6">
      <c r="B8" t="s">
        <v>24</v>
      </c>
      <c r="C8">
        <v>28</v>
      </c>
      <c r="D8" t="s">
        <v>46</v>
      </c>
      <c r="E8" t="s">
        <v>45</v>
      </c>
      <c r="F8" s="21" t="s">
        <v>12</v>
      </c>
    </row>
    <row r="9" spans="2:6">
      <c r="B9" t="s">
        <v>21</v>
      </c>
      <c r="C9">
        <v>31</v>
      </c>
      <c r="D9" t="s">
        <v>44</v>
      </c>
      <c r="E9" t="s">
        <v>45</v>
      </c>
      <c r="F9" s="21" t="s">
        <v>15</v>
      </c>
    </row>
    <row r="10" spans="2:6">
      <c r="B10" t="s">
        <v>32</v>
      </c>
      <c r="C10">
        <v>40</v>
      </c>
      <c r="D10" t="s">
        <v>47</v>
      </c>
      <c r="E10" t="s">
        <v>45</v>
      </c>
      <c r="F10" s="21" t="s">
        <v>12</v>
      </c>
    </row>
    <row r="11" spans="2:6">
      <c r="B11" t="s">
        <v>49</v>
      </c>
      <c r="C11">
        <v>21</v>
      </c>
      <c r="D11" t="s">
        <v>48</v>
      </c>
      <c r="E11" t="s">
        <v>45</v>
      </c>
      <c r="F11" s="21" t="s">
        <v>15</v>
      </c>
    </row>
    <row r="12" spans="2:6">
      <c r="B12" t="s">
        <v>28</v>
      </c>
      <c r="C12">
        <v>29</v>
      </c>
      <c r="D12" t="s">
        <v>46</v>
      </c>
      <c r="E12" t="s">
        <v>45</v>
      </c>
      <c r="F12" s="21" t="s">
        <v>12</v>
      </c>
    </row>
  </sheetData>
  <mergeCells count="1">
    <mergeCell ref="B1:F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7F0758-6038-47FD-9F3A-3E37C63D29EB}">
  <dimension ref="B2:H19"/>
  <sheetViews>
    <sheetView tabSelected="1" workbookViewId="0">
      <selection activeCell="G3" sqref="G3:H7"/>
    </sheetView>
  </sheetViews>
  <sheetFormatPr defaultRowHeight="15"/>
  <cols>
    <col min="2" max="2" width="22.5703125" bestFit="1" customWidth="1"/>
    <col min="3" max="3" width="16.140625" bestFit="1" customWidth="1"/>
    <col min="5" max="5" width="22.5703125" bestFit="1" customWidth="1"/>
    <col min="6" max="6" width="16.140625" bestFit="1" customWidth="1"/>
    <col min="8" max="9" width="15.28515625" bestFit="1" customWidth="1"/>
  </cols>
  <sheetData>
    <row r="2" spans="2:8" ht="15.75">
      <c r="B2" s="29" t="s">
        <v>50</v>
      </c>
      <c r="C2" s="30"/>
      <c r="E2" s="5" t="s">
        <v>51</v>
      </c>
    </row>
    <row r="3" spans="2:8" ht="15.75">
      <c r="B3" s="24" t="s">
        <v>2</v>
      </c>
      <c r="C3" s="25" t="s">
        <v>52</v>
      </c>
      <c r="E3" s="26" t="s">
        <v>53</v>
      </c>
      <c r="G3" s="29" t="s">
        <v>54</v>
      </c>
      <c r="H3" s="30"/>
    </row>
    <row r="4" spans="2:8">
      <c r="B4" s="1">
        <v>46082</v>
      </c>
      <c r="C4" s="2">
        <v>119.8</v>
      </c>
      <c r="E4" s="6">
        <v>15</v>
      </c>
      <c r="G4" s="27" t="s">
        <v>5</v>
      </c>
      <c r="H4" s="25" t="s">
        <v>52</v>
      </c>
    </row>
    <row r="5" spans="2:8">
      <c r="B5" s="1">
        <v>46083</v>
      </c>
      <c r="C5" s="2">
        <v>139.9</v>
      </c>
      <c r="G5" s="11" t="s">
        <v>15</v>
      </c>
      <c r="H5" s="2">
        <v>1179.0000000000002</v>
      </c>
    </row>
    <row r="6" spans="2:8">
      <c r="B6" s="1">
        <v>46084</v>
      </c>
      <c r="C6" s="2">
        <v>99.9</v>
      </c>
      <c r="G6" s="11" t="s">
        <v>12</v>
      </c>
      <c r="H6" s="2">
        <v>1068.8</v>
      </c>
    </row>
    <row r="7" spans="2:8" ht="15.75">
      <c r="B7" s="1">
        <v>46085</v>
      </c>
      <c r="C7" s="2">
        <v>179.8</v>
      </c>
      <c r="E7" s="7" t="s">
        <v>55</v>
      </c>
      <c r="G7" s="12" t="s">
        <v>56</v>
      </c>
      <c r="H7" s="4">
        <v>2247.8000000000002</v>
      </c>
    </row>
    <row r="8" spans="2:8">
      <c r="B8" s="1">
        <v>46086</v>
      </c>
      <c r="C8" s="2">
        <v>89.9</v>
      </c>
      <c r="E8" s="16">
        <f>TABELAS!C19/TABELAS!E4</f>
        <v>149.85333333333338</v>
      </c>
    </row>
    <row r="9" spans="2:8">
      <c r="B9" s="1">
        <v>46087</v>
      </c>
      <c r="C9" s="2">
        <v>119.9</v>
      </c>
    </row>
    <row r="10" spans="2:8">
      <c r="B10" s="1">
        <v>46088</v>
      </c>
      <c r="C10" s="2">
        <v>239.70000000000002</v>
      </c>
      <c r="E10" s="31" t="s">
        <v>57</v>
      </c>
      <c r="F10" s="32"/>
    </row>
    <row r="11" spans="2:8" ht="15.75">
      <c r="B11" s="1">
        <v>46089</v>
      </c>
      <c r="C11" s="2">
        <v>179.8</v>
      </c>
      <c r="E11" s="27" t="s">
        <v>4</v>
      </c>
      <c r="F11" s="28" t="s">
        <v>52</v>
      </c>
    </row>
    <row r="12" spans="2:8">
      <c r="B12" s="1">
        <v>46090</v>
      </c>
      <c r="C12" s="2">
        <v>129.9</v>
      </c>
      <c r="E12" s="11" t="s">
        <v>11</v>
      </c>
      <c r="F12" s="2">
        <v>1388.7</v>
      </c>
    </row>
    <row r="13" spans="2:8">
      <c r="B13" s="1">
        <v>46091</v>
      </c>
      <c r="C13" s="2">
        <v>179.9</v>
      </c>
      <c r="E13" s="11" t="s">
        <v>23</v>
      </c>
      <c r="F13" s="2">
        <v>449.50000000000006</v>
      </c>
    </row>
    <row r="14" spans="2:8">
      <c r="B14" s="1">
        <v>46092</v>
      </c>
      <c r="C14" s="2">
        <v>59.9</v>
      </c>
      <c r="E14" s="11" t="s">
        <v>20</v>
      </c>
      <c r="F14" s="2">
        <v>409.6</v>
      </c>
    </row>
    <row r="15" spans="2:8">
      <c r="B15" s="1">
        <v>46093</v>
      </c>
      <c r="C15" s="2">
        <v>279.8</v>
      </c>
      <c r="E15" s="12" t="s">
        <v>56</v>
      </c>
      <c r="F15" s="4">
        <v>2247.8000000000002</v>
      </c>
    </row>
    <row r="16" spans="2:8">
      <c r="B16" s="1">
        <v>46094</v>
      </c>
      <c r="C16" s="2">
        <v>149.9</v>
      </c>
    </row>
    <row r="17" spans="2:3">
      <c r="B17" s="1">
        <v>46095</v>
      </c>
      <c r="C17" s="2">
        <v>99.9</v>
      </c>
    </row>
    <row r="18" spans="2:3">
      <c r="B18" s="1">
        <v>46096</v>
      </c>
      <c r="C18" s="2">
        <v>179.8</v>
      </c>
    </row>
    <row r="19" spans="2:3">
      <c r="B19" s="3" t="s">
        <v>56</v>
      </c>
      <c r="C19" s="4">
        <v>2247.8000000000006</v>
      </c>
    </row>
  </sheetData>
  <mergeCells count="3">
    <mergeCell ref="B2:C2"/>
    <mergeCell ref="E10:F10"/>
    <mergeCell ref="G3:H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926515-4EFE-4204-B82E-F0A4C4733F8D}">
  <dimension ref="B2:F15"/>
  <sheetViews>
    <sheetView showGridLines="0" workbookViewId="0">
      <selection sqref="A1:J18"/>
    </sheetView>
  </sheetViews>
  <sheetFormatPr defaultRowHeight="15"/>
  <cols>
    <col min="2" max="2" width="45" customWidth="1"/>
    <col min="3" max="3" width="21.42578125" customWidth="1"/>
    <col min="4" max="4" width="45" customWidth="1"/>
    <col min="5" max="5" width="18.28515625" customWidth="1"/>
    <col min="6" max="6" width="45" customWidth="1"/>
  </cols>
  <sheetData>
    <row r="2" spans="2:6">
      <c r="B2" s="10" t="s">
        <v>58</v>
      </c>
      <c r="D2" s="9" t="s">
        <v>59</v>
      </c>
      <c r="F2" s="9" t="s">
        <v>55</v>
      </c>
    </row>
    <row r="3" spans="2:6" ht="61.5">
      <c r="B3" s="13">
        <f>TABELAS!C19</f>
        <v>2247.8000000000006</v>
      </c>
      <c r="D3" s="14">
        <f>TABELAS!E4</f>
        <v>15</v>
      </c>
      <c r="F3" s="15">
        <f>TABELAS!E8</f>
        <v>149.85333333333338</v>
      </c>
    </row>
    <row r="11" spans="2:6" ht="15.75">
      <c r="F11" s="18" t="s">
        <v>60</v>
      </c>
    </row>
    <row r="12" spans="2:6">
      <c r="F12" s="17" t="s">
        <v>61</v>
      </c>
    </row>
    <row r="13" spans="2:6">
      <c r="C13" s="8"/>
      <c r="D13" s="8"/>
      <c r="F13" s="17" t="s">
        <v>62</v>
      </c>
    </row>
    <row r="14" spans="2:6">
      <c r="C14" s="8"/>
      <c r="D14" s="8"/>
      <c r="F14" s="17" t="s">
        <v>63</v>
      </c>
    </row>
    <row r="15" spans="2:6">
      <c r="C15" s="8"/>
      <c r="D15" s="8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2026-04-30T02:00:28Z</dcterms:created>
  <dcterms:modified xsi:type="dcterms:W3CDTF">2026-09-26T16:55:54Z</dcterms:modified>
  <cp:category/>
  <cp:contentStatus/>
</cp:coreProperties>
</file>